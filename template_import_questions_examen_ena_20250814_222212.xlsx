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ENA_Exemples" sheetId="1" state="visible" r:id="rId1"/>
    <sheet name="Instructions" sheetId="2" state="visible" r:id="rId2"/>
    <sheet name="Matières_Réfé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matiere_nom</t>
        </is>
      </c>
      <c r="B1" s="1" t="inlineStr">
        <is>
          <t>lecon_nom</t>
        </is>
      </c>
      <c r="C1" s="1" t="inlineStr">
        <is>
          <t>texte</t>
        </is>
      </c>
      <c r="D1" s="1" t="inlineStr">
        <is>
          <t>type_question</t>
        </is>
      </c>
      <c r="E1" s="1" t="inlineStr">
        <is>
          <t>matiere_combinee</t>
        </is>
      </c>
      <c r="F1" s="1" t="inlineStr">
        <is>
          <t>choix_a</t>
        </is>
      </c>
      <c r="G1" s="1" t="inlineStr">
        <is>
          <t>choix_b</t>
        </is>
      </c>
      <c r="H1" s="1" t="inlineStr">
        <is>
          <t>choix_c</t>
        </is>
      </c>
      <c r="I1" s="1" t="inlineStr">
        <is>
          <t>choix_d</t>
        </is>
      </c>
      <c r="J1" s="1" t="inlineStr">
        <is>
          <t>choix_e</t>
        </is>
      </c>
      <c r="K1" s="1" t="inlineStr">
        <is>
          <t>bonne_reponse</t>
        </is>
      </c>
      <c r="L1" s="1" t="inlineStr">
        <is>
          <t>reponse_attendue</t>
        </is>
      </c>
      <c r="M1" s="1" t="inlineStr">
        <is>
          <t>explication</t>
        </is>
      </c>
      <c r="N1" s="1" t="inlineStr">
        <is>
          <t>difficulte</t>
        </is>
      </c>
      <c r="O1" s="1" t="inlineStr">
        <is>
          <t>temps_limite_secondes</t>
        </is>
      </c>
      <c r="P1" s="1" t="inlineStr">
        <is>
          <t>correction_mode</t>
        </is>
      </c>
    </row>
    <row r="2">
      <c r="A2" t="inlineStr">
        <is>
          <t>Culture générale</t>
        </is>
      </c>
      <c r="B2" t="inlineStr">
        <is>
          <t>Organisations internationales</t>
        </is>
      </c>
      <c r="C2" t="inlineStr">
        <is>
          <t>Quel est le siège de l'Organisation des Nations Unies ?</t>
        </is>
      </c>
      <c r="D2" t="inlineStr">
        <is>
          <t>choix_unique</t>
        </is>
      </c>
      <c r="E2" t="inlineStr">
        <is>
          <t>culture_aptitude</t>
        </is>
      </c>
      <c r="F2" t="inlineStr">
        <is>
          <t>Paris</t>
        </is>
      </c>
      <c r="G2" t="inlineStr">
        <is>
          <t>New York</t>
        </is>
      </c>
      <c r="H2" t="inlineStr">
        <is>
          <t>Genève</t>
        </is>
      </c>
      <c r="I2" t="inlineStr">
        <is>
          <t>Londres</t>
        </is>
      </c>
      <c r="J2" t="inlineStr"/>
      <c r="K2" t="inlineStr">
        <is>
          <t>B</t>
        </is>
      </c>
      <c r="L2" t="inlineStr"/>
      <c r="M2" t="inlineStr">
        <is>
          <t>Le siège principal de l'ONU est situé à New York, États-Unis, depuis 1952.</t>
        </is>
      </c>
      <c r="N2" t="inlineStr">
        <is>
          <t>facile</t>
        </is>
      </c>
      <c r="O2" t="n">
        <v>120</v>
      </c>
      <c r="P2" t="inlineStr">
        <is>
          <t>exacte</t>
        </is>
      </c>
    </row>
    <row r="3">
      <c r="A3" t="inlineStr">
        <is>
          <t>Culture générale</t>
        </is>
      </c>
      <c r="B3" t="inlineStr">
        <is>
          <t>Organisations internationales</t>
        </is>
      </c>
      <c r="C3" t="inlineStr">
        <is>
          <t>Quels sont les pays membres permanents du Conseil de sécurité de l'ONU ?</t>
        </is>
      </c>
      <c r="D3" t="inlineStr">
        <is>
          <t>choix_multiple</t>
        </is>
      </c>
      <c r="E3" t="inlineStr">
        <is>
          <t>culture_aptitude</t>
        </is>
      </c>
      <c r="F3" t="inlineStr">
        <is>
          <t>États-Unis</t>
        </is>
      </c>
      <c r="G3" t="inlineStr">
        <is>
          <t>Russie</t>
        </is>
      </c>
      <c r="H3" t="inlineStr">
        <is>
          <t>Chine</t>
        </is>
      </c>
      <c r="I3" t="inlineStr">
        <is>
          <t>France</t>
        </is>
      </c>
      <c r="J3" t="inlineStr">
        <is>
          <t>Royaume-Uni</t>
        </is>
      </c>
      <c r="K3" t="inlineStr">
        <is>
          <t>ABCDE</t>
        </is>
      </c>
      <c r="L3" t="inlineStr"/>
      <c r="M3" t="inlineStr">
        <is>
          <t>Les cinq membres permanents du Conseil de sécurité sont : États-Unis, Russie, Chine, France et Royaume-Uni.</t>
        </is>
      </c>
      <c r="N3" t="inlineStr">
        <is>
          <t>moyen</t>
        </is>
      </c>
      <c r="O3" t="n">
        <v>180</v>
      </c>
      <c r="P3" t="inlineStr">
        <is>
          <t>exacte</t>
        </is>
      </c>
    </row>
    <row r="4">
      <c r="A4" t="inlineStr">
        <is>
          <t>Culture générale</t>
        </is>
      </c>
      <c r="B4" t="inlineStr">
        <is>
          <t>Union européenne</t>
        </is>
      </c>
      <c r="C4" t="inlineStr">
        <is>
          <t>La France est membre fondateur de l'Union européenne.</t>
        </is>
      </c>
      <c r="D4" t="inlineStr">
        <is>
          <t>vrai_faux</t>
        </is>
      </c>
      <c r="E4" t="inlineStr">
        <is>
          <t>culture_aptitude</t>
        </is>
      </c>
      <c r="F4" t="inlineStr">
        <is>
          <t>VRAI</t>
        </is>
      </c>
      <c r="G4" t="inlineStr">
        <is>
          <t>FAUX</t>
        </is>
      </c>
      <c r="H4" t="inlineStr"/>
      <c r="I4" t="inlineStr"/>
      <c r="J4" t="inlineStr"/>
      <c r="K4" t="inlineStr">
        <is>
          <t>A</t>
        </is>
      </c>
      <c r="L4" t="inlineStr"/>
      <c r="M4" t="inlineStr">
        <is>
          <t>La France est effectivement l'un des six pays fondateurs de la Communauté européenne du charbon et de l'acier en 1951.</t>
        </is>
      </c>
      <c r="N4" t="inlineStr">
        <is>
          <t>facile</t>
        </is>
      </c>
      <c r="O4" t="n">
        <v>60</v>
      </c>
      <c r="P4" t="inlineStr">
        <is>
          <t>exacte</t>
        </is>
      </c>
    </row>
    <row r="5">
      <c r="A5" t="inlineStr">
        <is>
          <t>Aptitude verbale</t>
        </is>
      </c>
      <c r="B5" t="inlineStr">
        <is>
          <t>Synonymes</t>
        </is>
      </c>
      <c r="C5" t="inlineStr">
        <is>
          <t>Donnez un synonyme du mot "diligent".</t>
        </is>
      </c>
      <c r="D5" t="inlineStr">
        <is>
          <t>texte_court</t>
        </is>
      </c>
      <c r="E5" t="inlineStr">
        <is>
          <t>culture_aptitude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assidu|consciencieux|appliqué|soigneux</t>
        </is>
      </c>
      <c r="M5" t="inlineStr">
        <is>
          <t>Les synonymes de "diligent" incluent : assidu, consciencieux, appliqué, soigneux.</t>
        </is>
      </c>
      <c r="N5" t="inlineStr">
        <is>
          <t>moyen</t>
        </is>
      </c>
      <c r="O5" t="n">
        <v>90</v>
      </c>
      <c r="P5" t="inlineStr">
        <is>
          <t>mot_cle</t>
        </is>
      </c>
    </row>
    <row r="6">
      <c r="A6" t="inlineStr">
        <is>
          <t>Logique numérique</t>
        </is>
      </c>
      <c r="B6" t="inlineStr">
        <is>
          <t>Suites numériques</t>
        </is>
      </c>
      <c r="C6" t="inlineStr">
        <is>
          <t>Dans la suite logique 2, 6, 18, 54, ?, quel est le nombre manquant ?</t>
        </is>
      </c>
      <c r="D6" t="inlineStr">
        <is>
          <t>choix_unique</t>
        </is>
      </c>
      <c r="E6" t="inlineStr">
        <is>
          <t>logique_combinee</t>
        </is>
      </c>
      <c r="F6" t="inlineStr">
        <is>
          <t>108</t>
        </is>
      </c>
      <c r="G6" t="inlineStr">
        <is>
          <t>162</t>
        </is>
      </c>
      <c r="H6" t="inlineStr">
        <is>
          <t>216</t>
        </is>
      </c>
      <c r="I6" t="inlineStr">
        <is>
          <t>270</t>
        </is>
      </c>
      <c r="J6" t="inlineStr"/>
      <c r="K6" t="inlineStr">
        <is>
          <t>B</t>
        </is>
      </c>
      <c r="L6" t="inlineStr"/>
      <c r="M6" t="inlineStr">
        <is>
          <t>Chaque terme est multiplié par 3 : 2×3=6, 6×3=18, 18×3=54, 54×3=162.</t>
        </is>
      </c>
      <c r="N6" t="inlineStr">
        <is>
          <t>moyen</t>
        </is>
      </c>
      <c r="O6" t="n">
        <v>150</v>
      </c>
      <c r="P6" t="inlineStr">
        <is>
          <t>exacte</t>
        </is>
      </c>
    </row>
    <row r="7">
      <c r="A7" t="inlineStr">
        <is>
          <t>Logique d'organisation</t>
        </is>
      </c>
      <c r="B7" t="inlineStr">
        <is>
          <t>Codage alphabétique</t>
        </is>
      </c>
      <c r="C7" t="inlineStr">
        <is>
          <t>Si A=1, B=2, C=3, etc., quelle est la valeur numérique du mot "CHAT" ?</t>
        </is>
      </c>
      <c r="D7" t="inlineStr">
        <is>
          <t>texte_court</t>
        </is>
      </c>
      <c r="E7" t="inlineStr">
        <is>
          <t>logique_combinee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28</t>
        </is>
      </c>
      <c r="M7" t="inlineStr">
        <is>
          <t>C=3, H=8, A=1, T=20. Total : 3+8+1+20=32. (Erreur dans l'exemple, devrait être 32)</t>
        </is>
      </c>
      <c r="N7" t="inlineStr">
        <is>
          <t>facile</t>
        </is>
      </c>
      <c r="O7" t="n">
        <v>120</v>
      </c>
      <c r="P7" t="inlineStr">
        <is>
          <t>exacte</t>
        </is>
      </c>
    </row>
    <row r="8">
      <c r="A8" t="inlineStr">
        <is>
          <t>Anglais</t>
        </is>
      </c>
      <c r="B8" t="inlineStr">
        <is>
          <t>Grammaire - Temps du passé</t>
        </is>
      </c>
      <c r="C8" t="inlineStr">
        <is>
          <t>Choose the correct form: "She _____ to the store yesterday."</t>
        </is>
      </c>
      <c r="D8" t="inlineStr">
        <is>
          <t>choix_unique</t>
        </is>
      </c>
      <c r="E8" t="inlineStr">
        <is>
          <t>anglais</t>
        </is>
      </c>
      <c r="F8" t="inlineStr">
        <is>
          <t>go</t>
        </is>
      </c>
      <c r="G8" t="inlineStr">
        <is>
          <t>goes</t>
        </is>
      </c>
      <c r="H8" t="inlineStr">
        <is>
          <t>went</t>
        </is>
      </c>
      <c r="I8" t="inlineStr">
        <is>
          <t>going</t>
        </is>
      </c>
      <c r="J8" t="inlineStr"/>
      <c r="K8" t="inlineStr">
        <is>
          <t>C</t>
        </is>
      </c>
      <c r="L8" t="inlineStr"/>
      <c r="M8" t="inlineStr">
        <is>
          <t>"Went" is the past tense of "go", which is correct with "yesterday".</t>
        </is>
      </c>
      <c r="N8" t="inlineStr">
        <is>
          <t>facile</t>
        </is>
      </c>
      <c r="O8" t="n">
        <v>90</v>
      </c>
      <c r="P8" t="inlineStr">
        <is>
          <t>exacte</t>
        </is>
      </c>
    </row>
    <row r="9">
      <c r="A9" t="inlineStr">
        <is>
          <t>Anglais</t>
        </is>
      </c>
      <c r="B9" t="inlineStr">
        <is>
          <t>Traduction français-anglais</t>
        </is>
      </c>
      <c r="C9" t="inlineStr">
        <is>
          <t>Translate to English: "Je suis étudiant"</t>
        </is>
      </c>
      <c r="D9" t="inlineStr">
        <is>
          <t>texte_court</t>
        </is>
      </c>
      <c r="E9" t="inlineStr">
        <is>
          <t>anglais</t>
        </is>
      </c>
      <c r="F9" t="inlineStr"/>
      <c r="G9" t="inlineStr"/>
      <c r="H9" t="inlineStr"/>
      <c r="I9" t="inlineStr"/>
      <c r="J9" t="inlineStr"/>
      <c r="K9" t="inlineStr"/>
      <c r="L9" t="inlineStr">
        <is>
          <t>I am a student|I'm a student</t>
        </is>
      </c>
      <c r="M9" t="inlineStr">
        <is>
          <t>The correct translation is "I am a student" or "I'm a student".</t>
        </is>
      </c>
      <c r="N9" t="inlineStr">
        <is>
          <t>facile</t>
        </is>
      </c>
      <c r="O9" t="n">
        <v>60</v>
      </c>
      <c r="P9" t="inlineStr">
        <is>
          <t>mot_cle</t>
        </is>
      </c>
    </row>
    <row r="10">
      <c r="A10" t="inlineStr">
        <is>
          <t>Anglais</t>
        </is>
      </c>
      <c r="B10" t="inlineStr">
        <is>
          <t>Vocabulaire - Différences sémantiques</t>
        </is>
      </c>
      <c r="C10" t="inlineStr">
        <is>
          <t>"Library" and "bookstore" have the same meaning in English.</t>
        </is>
      </c>
      <c r="D10" t="inlineStr">
        <is>
          <t>vrai_faux</t>
        </is>
      </c>
      <c r="E10" t="inlineStr">
        <is>
          <t>anglais</t>
        </is>
      </c>
      <c r="F10" t="inlineStr">
        <is>
          <t>TRUE</t>
        </is>
      </c>
      <c r="G10" t="inlineStr">
        <is>
          <t>FALSE</t>
        </is>
      </c>
      <c r="H10" t="inlineStr"/>
      <c r="I10" t="inlineStr"/>
      <c r="J10" t="inlineStr"/>
      <c r="K10" t="inlineStr">
        <is>
          <t>B</t>
        </is>
      </c>
      <c r="L10" t="inlineStr"/>
      <c r="M10" t="inlineStr">
        <is>
          <t>A library is for borrowing books, while a bookstore is for buying books.</t>
        </is>
      </c>
      <c r="N10" t="inlineStr">
        <is>
          <t>moyen</t>
        </is>
      </c>
      <c r="O10" t="n">
        <v>90</v>
      </c>
      <c r="P10" t="inlineStr">
        <is>
          <t>exacte</t>
        </is>
      </c>
    </row>
    <row r="11">
      <c r="A11" t="inlineStr">
        <is>
          <t>Culture générale</t>
        </is>
      </c>
      <c r="B11" t="inlineStr">
        <is>
          <t>Institutions démocratiques</t>
        </is>
      </c>
      <c r="C11" t="inlineStr">
        <is>
          <t>Expliquez brièvement l'importance de la séparation des pouvoirs dans un système démocratique (maximum 100 mots).</t>
        </is>
      </c>
      <c r="D11" t="inlineStr">
        <is>
          <t>texte_long</t>
        </is>
      </c>
      <c r="E11" t="inlineStr">
        <is>
          <t>culture_aptitude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équilibre|contrôle|pouvoir|exécutif|législatif|judiciaire|démocratie</t>
        </is>
      </c>
      <c r="M11" t="inlineStr">
        <is>
          <t>La séparation des pouvoirs (exécutif, législatif, judiciaire) assure l'équilibre et le contrôle mutuel, évitant la concentration du pouvoir et protégeant les libertés démocratiques.</t>
        </is>
      </c>
      <c r="N11" t="inlineStr">
        <is>
          <t>difficile</t>
        </is>
      </c>
      <c r="O11" t="n">
        <v>300</v>
      </c>
      <c r="P11" t="inlineStr">
        <is>
          <t>mot_cle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 IMPORT QUESTIONS EXAMEN NATIONAL ENA</t>
        </is>
      </c>
    </row>
    <row r="2">
      <c r="A2">
        <f>== COLONNES REQUISES ===</f>
        <v/>
      </c>
    </row>
    <row r="3">
      <c r="A3" t="inlineStr">
        <is>
          <t>matiere_nom : Nom de la matière (ex: Culture générale, Aptitude verbale, Anglais)</t>
        </is>
      </c>
    </row>
    <row r="4">
      <c r="A4" t="inlineStr">
        <is>
          <t>lecon_nom : Nom de la leçon/thème (ex: Organisations internationales, Synonymes)</t>
        </is>
      </c>
    </row>
    <row r="5">
      <c r="A5" t="inlineStr">
        <is>
          <t>texte : Énoncé de la question</t>
        </is>
      </c>
    </row>
    <row r="6">
      <c r="A6" t="inlineStr">
        <is>
          <t>type_question : choix_unique, choix_multiple, vrai_faux, texte_court, texte_long</t>
        </is>
      </c>
    </row>
    <row r="7">
      <c r="A7" t="inlineStr"/>
    </row>
    <row r="8">
      <c r="A8">
        <f>== COLONNES OPTIONNELLES ===</f>
        <v/>
      </c>
    </row>
    <row r="9">
      <c r="A9" t="inlineStr">
        <is>
          <t>matiere_combinee : culture_aptitude, logique_combinee, anglais (calculé automatiquement)</t>
        </is>
      </c>
    </row>
    <row r="10">
      <c r="A10" t="inlineStr">
        <is>
          <t>choix_a, choix_b, choix_c, choix_d, choix_e : Choix pour QCM</t>
        </is>
      </c>
    </row>
    <row r="11">
      <c r="A11" t="inlineStr">
        <is>
          <t>bonne_reponse : A, B, C, D, E ou combinaisons (ex: ABC pour choix multiple)</t>
        </is>
      </c>
    </row>
    <row r="12">
      <c r="A12" t="inlineStr">
        <is>
          <t>reponse_attendue : Réponse attendue pour questions texte (peut contenir | pour alternatives)</t>
        </is>
      </c>
    </row>
    <row r="13">
      <c r="A13" t="inlineStr">
        <is>
          <t>explication : Explication de la réponse</t>
        </is>
      </c>
    </row>
    <row r="14">
      <c r="A14" t="inlineStr">
        <is>
          <t>difficulte : facile, moyen, difficile (défaut: moyen)</t>
        </is>
      </c>
    </row>
    <row r="15">
      <c r="A15" t="inlineStr">
        <is>
          <t>temps_limite_secondes : Temps limite en secondes (défaut: 120)</t>
        </is>
      </c>
    </row>
    <row r="16">
      <c r="A16" t="inlineStr">
        <is>
          <t>correction_mode : exacte, mot_cle, regex (défaut: exacte)</t>
        </is>
      </c>
    </row>
    <row r="17">
      <c r="A17" t="inlineStr"/>
    </row>
    <row r="18">
      <c r="A18">
        <f>== MATIÈRES COMBINÉES ===</f>
        <v/>
      </c>
    </row>
    <row r="19">
      <c r="A19" t="inlineStr">
        <is>
          <t>culture_aptitude : Culture générale + Aptitude verbale</t>
        </is>
      </c>
    </row>
    <row r="20">
      <c r="A20" t="inlineStr">
        <is>
          <t>logique_combinee : Logique d'organisation + Logique numérique</t>
        </is>
      </c>
    </row>
    <row r="21">
      <c r="A21" t="inlineStr">
        <is>
          <t>anglais : Anglais</t>
        </is>
      </c>
    </row>
    <row r="22">
      <c r="A22" t="inlineStr"/>
    </row>
    <row r="23">
      <c r="A23">
        <f>== TYPES DE QUESTIONS ===</f>
        <v/>
      </c>
    </row>
    <row r="24">
      <c r="A24" t="inlineStr">
        <is>
          <t>choix_unique : Une seule bonne réponse (A, B, C, D ou E)</t>
        </is>
      </c>
    </row>
    <row r="25">
      <c r="A25" t="inlineStr">
        <is>
          <t>choix_multiple : Plusieurs bonnes réponses (ex: ABC, BD, etc.)</t>
        </is>
      </c>
    </row>
    <row r="26">
      <c r="A26" t="inlineStr">
        <is>
          <t>vrai_faux : Question Vrai/Faux (A=VRAI/TRUE, B=FAUX/FALSE)</t>
        </is>
      </c>
    </row>
    <row r="27">
      <c r="A27" t="inlineStr">
        <is>
          <t>texte_court : Réponse courte en texte libre</t>
        </is>
      </c>
    </row>
    <row r="28">
      <c r="A28" t="inlineStr">
        <is>
          <t>texte_long : Réponse longue en texte libre</t>
        </is>
      </c>
    </row>
    <row r="29">
      <c r="A29" t="inlineStr"/>
    </row>
    <row r="30">
      <c r="A30">
        <f>== CONSEILS ===</f>
        <v/>
      </c>
    </row>
    <row r="31">
      <c r="A31" t="inlineStr">
        <is>
          <t>• Utilisez la feuille "Questions_ENA_Exemples" comme modèle</t>
        </is>
      </c>
    </row>
    <row r="32">
      <c r="A32" t="inlineStr">
        <is>
          <t>• Pour les questions texte, utilisez | dans reponse_attendue pour les alternatives</t>
        </is>
      </c>
    </row>
    <row r="33">
      <c r="A33" t="inlineStr">
        <is>
          <t>• Le correction_mode "mot_cle" cherche les mots-clés dans la réponse</t>
        </is>
      </c>
    </row>
    <row r="34">
      <c r="A34" t="inlineStr">
        <is>
          <t>• Laissez vides les colonnes non utilisées (ex: choix_c pour vrai/faux)</t>
        </is>
      </c>
    </row>
    <row r="35">
      <c r="A35" t="inlineStr">
        <is>
          <t>• Vérifiez que bonne_reponse correspond aux choix définis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matiere_combinee</t>
        </is>
      </c>
      <c r="B1" s="1" t="inlineStr">
        <is>
          <t>description</t>
        </is>
      </c>
      <c r="C1" s="1" t="inlineStr">
        <is>
          <t>exemples_sujets</t>
        </is>
      </c>
    </row>
    <row r="2">
      <c r="A2" t="inlineStr">
        <is>
          <t>culture_aptitude</t>
        </is>
      </c>
      <c r="B2" t="inlineStr">
        <is>
          <t>Culture générale et Aptitude verbale</t>
        </is>
      </c>
      <c r="C2" t="inlineStr">
        <is>
          <t>Histoire, géographie, littérature, synonymes, antonymes</t>
        </is>
      </c>
    </row>
    <row r="3">
      <c r="A3" t="inlineStr">
        <is>
          <t>logique_combinee</t>
        </is>
      </c>
      <c r="B3" t="inlineStr">
        <is>
          <t>Logique d'organisation et Logique numérique</t>
        </is>
      </c>
      <c r="C3" t="inlineStr">
        <is>
          <t>Suites logiques, calculs, organisation, raisonnement</t>
        </is>
      </c>
    </row>
    <row r="4">
      <c r="A4" t="inlineStr">
        <is>
          <t>anglais</t>
        </is>
      </c>
      <c r="B4" t="inlineStr">
        <is>
          <t>Anglais</t>
        </is>
      </c>
      <c r="C4" t="inlineStr">
        <is>
          <t>Grammaire, vocabulaire, compréhension, traduction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2025-08-14T22:22:14Z</dcterms:created>
  <dcterms:modified xsi:type="dcterms:W3CDTF">2025-08-14T22:22:14Z</dcterms:modified>
</cp:coreProperties>
</file>